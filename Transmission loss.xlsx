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<sst xmlns="http://schemas.openxmlformats.org/spreadsheetml/2006/main" count="21" uniqueCount="21">
  <si>
    <t>Giriş boru çapı (m)</t>
  </si>
  <si>
    <t>First order</t>
  </si>
  <si>
    <t>Second Order</t>
  </si>
  <si>
    <t>Third Order</t>
  </si>
  <si>
    <t>Fourth Order</t>
  </si>
  <si>
    <t>Fifth Order</t>
  </si>
  <si>
    <t>Sixth Order</t>
  </si>
  <si>
    <t>Seventh Order</t>
  </si>
  <si>
    <t>Egsoz Çapı (m)</t>
  </si>
  <si>
    <t>Egsoz Boyu (m)</t>
  </si>
  <si>
    <t>Motor silindir sayısı</t>
  </si>
  <si>
    <t>Devir (rpm)</t>
  </si>
  <si>
    <t>Frekans (Hz)</t>
  </si>
  <si>
    <t>m</t>
  </si>
  <si>
    <t>0,25*(m-1/m)^2</t>
  </si>
  <si>
    <t>k</t>
  </si>
  <si>
    <t>sin^2(kl)</t>
  </si>
  <si>
    <t>Transmission Loss</t>
  </si>
  <si>
    <t>ortalama</t>
  </si>
  <si>
    <t>c=Ses Hızı (m/s)</t>
  </si>
  <si>
    <t>Temp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</si>
</sst>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0" fillId="0" fontId="1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Sayfa1!$D$6:$I$6</c:f>
            </c:strRef>
          </c:cat>
          <c:val>
            <c:numRef>
              <c:f>Sayfa1!$D$12:$I$12</c:f>
              <c:numCache/>
            </c:numRef>
          </c:val>
          <c:smooth val="0"/>
        </c:ser>
        <c:axId val="1502849886"/>
        <c:axId val="1983643707"/>
      </c:lineChart>
      <c:catAx>
        <c:axId val="1502849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Frekans (Hz)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3643707"/>
      </c:catAx>
      <c:valAx>
        <c:axId val="1983643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849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504825</xdr:colOff>
      <xdr:row>14</xdr:row>
      <xdr:rowOff>76200</xdr:rowOff>
    </xdr:from>
    <xdr:ext cx="5715000" cy="3533775"/>
    <xdr:graphicFrame>
      <xdr:nvGraphicFramePr>
        <xdr:cNvPr id="1" name="Chart 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1.13"/>
    <col customWidth="1" min="10" max="10" width="15.75"/>
  </cols>
  <sheetData>
    <row r="1">
      <c r="A1" s="1" t="s">
        <v>0</v>
      </c>
      <c r="B1" s="2">
        <v>0.06</v>
      </c>
      <c r="C1" s="3"/>
      <c r="D1" s="4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>
      <c r="A2" s="1" t="s">
        <v>8</v>
      </c>
      <c r="B2" s="1">
        <v>0.48</v>
      </c>
    </row>
    <row r="3">
      <c r="A3" s="1" t="s">
        <v>9</v>
      </c>
      <c r="B3" s="1">
        <v>0.4</v>
      </c>
    </row>
    <row r="4">
      <c r="A4" s="1" t="s">
        <v>10</v>
      </c>
      <c r="B4" s="1">
        <v>6.0</v>
      </c>
    </row>
    <row r="5">
      <c r="A5" s="1" t="s">
        <v>11</v>
      </c>
      <c r="B5" s="1">
        <v>1500.0</v>
      </c>
    </row>
    <row r="6">
      <c r="A6" s="1" t="s">
        <v>12</v>
      </c>
      <c r="B6" s="1">
        <v>50.0</v>
      </c>
      <c r="D6" s="5">
        <f>$B$6*B4</f>
        <v>300</v>
      </c>
      <c r="E6" s="5">
        <f>D6*2</f>
        <v>600</v>
      </c>
      <c r="F6" s="5">
        <f>D6*3</f>
        <v>900</v>
      </c>
      <c r="G6" s="5">
        <f>D6*4</f>
        <v>1200</v>
      </c>
      <c r="H6" s="5">
        <f>D6*5</f>
        <v>1500</v>
      </c>
      <c r="I6" s="5">
        <f>D6*6</f>
        <v>1800</v>
      </c>
      <c r="J6" s="5">
        <f>D6*7</f>
        <v>2100</v>
      </c>
    </row>
    <row r="7">
      <c r="A7" s="6" t="s">
        <v>13</v>
      </c>
      <c r="B7" s="7">
        <f>B2/B1</f>
        <v>8</v>
      </c>
    </row>
    <row r="8">
      <c r="A8" s="6" t="s">
        <v>14</v>
      </c>
      <c r="B8" s="7">
        <f>((B7-(1/B7))^2)*0.25</f>
        <v>15.50390625</v>
      </c>
    </row>
    <row r="9">
      <c r="A9" s="6" t="s">
        <v>15</v>
      </c>
      <c r="B9" s="7"/>
      <c r="D9" s="5">
        <f t="shared" ref="D9:J9" si="1">(2*PI()*D6)/$K$18</f>
        <v>3.585804708</v>
      </c>
      <c r="E9" s="5">
        <f t="shared" si="1"/>
        <v>7.171609416</v>
      </c>
      <c r="F9" s="5">
        <f t="shared" si="1"/>
        <v>10.75741412</v>
      </c>
      <c r="G9" s="5">
        <f t="shared" si="1"/>
        <v>14.34321883</v>
      </c>
      <c r="H9" s="5">
        <f t="shared" si="1"/>
        <v>17.92902354</v>
      </c>
      <c r="I9" s="5">
        <f t="shared" si="1"/>
        <v>21.51482825</v>
      </c>
      <c r="J9" s="5">
        <f t="shared" si="1"/>
        <v>25.10063295</v>
      </c>
    </row>
    <row r="10">
      <c r="A10" s="6" t="s">
        <v>16</v>
      </c>
      <c r="B10" s="7"/>
      <c r="D10" s="5">
        <f t="shared" ref="D10:J10" si="2">(SIN(D9*$B$3*(180/pi())))^2</f>
        <v>0.2291603586</v>
      </c>
      <c r="E10" s="5">
        <f t="shared" si="2"/>
        <v>0.7065835546</v>
      </c>
      <c r="F10" s="5">
        <f t="shared" si="2"/>
        <v>0.9946437048</v>
      </c>
      <c r="G10" s="5">
        <f t="shared" si="2"/>
        <v>0.8292929399</v>
      </c>
      <c r="H10" s="5">
        <f t="shared" si="2"/>
        <v>0.3620986222</v>
      </c>
      <c r="I10" s="5">
        <f t="shared" si="2"/>
        <v>0.02131042131</v>
      </c>
      <c r="J10" s="5">
        <f t="shared" si="2"/>
        <v>0.1193089224</v>
      </c>
    </row>
    <row r="11">
      <c r="A11" s="8"/>
      <c r="D11" s="5">
        <f t="shared" ref="D11:J11" si="3">1+($B$8*D10)</f>
        <v>4.552880716</v>
      </c>
      <c r="E11" s="5">
        <f t="shared" si="3"/>
        <v>11.95480519</v>
      </c>
      <c r="F11" s="5">
        <f t="shared" si="3"/>
        <v>16.42086275</v>
      </c>
      <c r="G11" s="5">
        <f t="shared" si="3"/>
        <v>13.85727999</v>
      </c>
      <c r="H11" s="5">
        <f t="shared" si="3"/>
        <v>6.613943093</v>
      </c>
      <c r="I11" s="5">
        <f t="shared" si="3"/>
        <v>1.330394774</v>
      </c>
      <c r="J11" s="5">
        <f t="shared" si="3"/>
        <v>2.849754348</v>
      </c>
    </row>
    <row r="12">
      <c r="A12" s="9" t="s">
        <v>17</v>
      </c>
      <c r="D12" s="10">
        <f t="shared" ref="D12:J12" si="4">10*log(D11,10)</f>
        <v>6.582862721</v>
      </c>
      <c r="E12" s="10">
        <f t="shared" si="4"/>
        <v>10.77542503</v>
      </c>
      <c r="F12" s="10">
        <f t="shared" si="4"/>
        <v>12.15395971</v>
      </c>
      <c r="G12" s="10">
        <f t="shared" si="4"/>
        <v>11.41677992</v>
      </c>
      <c r="H12" s="10">
        <f t="shared" si="4"/>
        <v>8.204604539</v>
      </c>
      <c r="I12" s="10">
        <f t="shared" si="4"/>
        <v>1.239805303</v>
      </c>
      <c r="J12" s="10">
        <f t="shared" si="4"/>
        <v>4.54807425</v>
      </c>
    </row>
    <row r="14">
      <c r="J14" s="1" t="s">
        <v>18</v>
      </c>
      <c r="K14" s="5">
        <f>AVERAGE(D12:G12)</f>
        <v>10.23225685</v>
      </c>
    </row>
    <row r="18">
      <c r="J18" s="1" t="s">
        <v>19</v>
      </c>
      <c r="K18" s="1">
        <f>sqrt(1.4*273*(273+K19))</f>
        <v>525.6715705</v>
      </c>
    </row>
    <row r="19">
      <c r="J19" s="1" t="s">
        <v>20</v>
      </c>
      <c r="K19" s="1">
        <v>450.0</v>
      </c>
    </row>
  </sheetData>
  <drawing r:id="rId1"/>
</worksheet>
</file>